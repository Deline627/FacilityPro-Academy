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ee Tracker" sheetId="1" state="visible" r:id="rId3"/>
    <sheet name="Phase Detail" sheetId="2" state="visible" r:id="rId4"/>
    <sheet name="Remediation Log" sheetId="3" state="visible" r:id="rId5"/>
    <sheet name="Dashboard" sheetId="4" state="visible" r:id="rId6"/>
    <sheet name="Reference" sheetId="5" state="visible" r:id="rId7"/>
  </sheets>
  <definedNames>
    <definedName function="false" hidden="false" localSheetId="0" name="_xlnm.Print_Titles" vbProcedure="false">'Trainee Tracker'!$1:$3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<sst xmlns="http://schemas.openxmlformats.org/spreadsheetml/2006/main" count="141" uniqueCount="128">
  <si>
    <t xml:space="preserve">FacilityPro Academy | DVG Facilities Management — Trainee Training Tracker v4.0</t>
  </si>
  <si>
    <t xml:space="preserve">Aligned to 7-Phase Intermediate Programme  |  Platform: ConnectTeams (until Eagle IO launch)  |  Controlled Document: FPA-TT-TRACK-001</t>
  </si>
  <si>
    <t xml:space="preserve">Trainee Name</t>
  </si>
  <si>
    <t xml:space="preserve">Role</t>
  </si>
  <si>
    <t xml:space="preserve">Start Date</t>
  </si>
  <si>
    <t xml:space="preserve">Documentation
Complete</t>
  </si>
  <si>
    <t xml:space="preserve">Online
Training</t>
  </si>
  <si>
    <t xml:space="preserve">Phase 1
Foundations</t>
  </si>
  <si>
    <t xml:space="preserve">Phase 2
SOP Exec</t>
  </si>
  <si>
    <t xml:space="preserve">Phase 3
Crew Ops</t>
  </si>
  <si>
    <t xml:space="preserve">Phase 4
Cust. Exp</t>
  </si>
  <si>
    <t xml:space="preserve">Phase 5
Quality</t>
  </si>
  <si>
    <t xml:space="preserve">Phase 6
H&amp;S</t>
  </si>
  <si>
    <t xml:space="preserve">Phase 7
Leadership</t>
  </si>
  <si>
    <t xml:space="preserve">Written
Check (80%)</t>
  </si>
  <si>
    <t xml:space="preserve">Programme
Status</t>
  </si>
  <si>
    <t xml:space="preserve">Certification
Date</t>
  </si>
  <si>
    <t xml:space="preserve">Current
Phase</t>
  </si>
  <si>
    <t xml:space="preserve">Performance
Rating</t>
  </si>
  <si>
    <t xml:space="preserve">Eagle IO
ID</t>
  </si>
  <si>
    <t xml:space="preserve">Notes / Comments</t>
  </si>
  <si>
    <t xml:space="preserve">J. Smith</t>
  </si>
  <si>
    <t xml:space="preserve">Operative</t>
  </si>
  <si>
    <t xml:space="preserve">15/01/2026</t>
  </si>
  <si>
    <t xml:space="preserve">Yes</t>
  </si>
  <si>
    <t xml:space="preserve">Pass</t>
  </si>
  <si>
    <t xml:space="preserve">84%</t>
  </si>
  <si>
    <t xml:space="preserve">CERTIFIED</t>
  </si>
  <si>
    <t xml:space="preserve">15/04/2026</t>
  </si>
  <si>
    <t xml:space="preserve">Complete</t>
  </si>
  <si>
    <t xml:space="preserve">Good</t>
  </si>
  <si>
    <t xml:space="preserve">DVG-0042</t>
  </si>
  <si>
    <t xml:space="preserve">Completed full programme. Strong on quality control.</t>
  </si>
  <si>
    <t xml:space="preserve">FacilityPro Academy — Phase-by-Phase Detail Tracker</t>
  </si>
  <si>
    <t xml:space="preserve">Record date completed and supervisor sign-off for each phase  |  Use alongside the Programme Completion Record (Appendix A10)</t>
  </si>
  <si>
    <t xml:space="preserve">Phase 1
Date Passed</t>
  </si>
  <si>
    <t xml:space="preserve">Phase 1
Supervisor</t>
  </si>
  <si>
    <t xml:space="preserve">Phase 2
Date Passed</t>
  </si>
  <si>
    <t xml:space="preserve">Phase 2
Supervisor</t>
  </si>
  <si>
    <t xml:space="preserve">Phase 3
Date Passed</t>
  </si>
  <si>
    <t xml:space="preserve">Phase 3
Supervisor</t>
  </si>
  <si>
    <t xml:space="preserve">Phase 4
Date Passed</t>
  </si>
  <si>
    <t xml:space="preserve">Phase 4
Supervisor</t>
  </si>
  <si>
    <t xml:space="preserve">Phase 5
Date Passed</t>
  </si>
  <si>
    <t xml:space="preserve">Phase 5
Supervisor</t>
  </si>
  <si>
    <t xml:space="preserve">Phase 6
Date Passed</t>
  </si>
  <si>
    <t xml:space="preserve">Phase 6
Supervisor</t>
  </si>
  <si>
    <t xml:space="preserve">Phase 7
Date Passed</t>
  </si>
  <si>
    <t xml:space="preserve">Phase 7
Supervisor</t>
  </si>
  <si>
    <t xml:space="preserve">Written Check
Score (%)</t>
  </si>
  <si>
    <t xml:space="preserve">Written Check
Date</t>
  </si>
  <si>
    <t xml:space="preserve">Programme
Complete</t>
  </si>
  <si>
    <t xml:space="preserve">FacilityPro Academy — Remediation Log</t>
  </si>
  <si>
    <t xml:space="preserve">Phase</t>
  </si>
  <si>
    <t xml:space="preserve">Date Failed</t>
  </si>
  <si>
    <t xml:space="preserve">Specific Criteria
Not Met</t>
  </si>
  <si>
    <t xml:space="preserve">Coaching Action
Taken</t>
  </si>
  <si>
    <t xml:space="preserve">Re-assessment
Date</t>
  </si>
  <si>
    <t xml:space="preserve">Re-assessment
Result</t>
  </si>
  <si>
    <t xml:space="preserve">Escalated
(Yes/No)</t>
  </si>
  <si>
    <t xml:space="preserve">Escalation
Date</t>
  </si>
  <si>
    <t xml:space="preserve">Notes</t>
  </si>
  <si>
    <t xml:space="preserve">FacilityPro Academy — Training Dashboard</t>
  </si>
  <si>
    <t xml:space="preserve">Auto-calculated from Trainee Tracker sheet  |  Update by entering data in the Trainee Tracker</t>
  </si>
  <si>
    <t xml:space="preserve">PROGRAMME STATUS SUMMARY</t>
  </si>
  <si>
    <t xml:space="preserve">PHASE PASS RATES</t>
  </si>
  <si>
    <t xml:space="preserve">Total Trainees (active rows)</t>
  </si>
  <si>
    <t xml:space="preserve">Phase 1 — Foundations</t>
  </si>
  <si>
    <t xml:space="preserve">Certified</t>
  </si>
  <si>
    <t xml:space="preserve">Phase 2 — SOP Execution</t>
  </si>
  <si>
    <t xml:space="preserve">In Training</t>
  </si>
  <si>
    <t xml:space="preserve">Phase 3 — Crew Operations</t>
  </si>
  <si>
    <t xml:space="preserve">In Remediation</t>
  </si>
  <si>
    <t xml:space="preserve">Phase 4 — Customer Experience</t>
  </si>
  <si>
    <t xml:space="preserve">On Hold</t>
  </si>
  <si>
    <t xml:space="preserve">Phase 5 — Quality Control</t>
  </si>
  <si>
    <t xml:space="preserve">Not Started</t>
  </si>
  <si>
    <t xml:space="preserve">Phase 6 — Health &amp; Safety</t>
  </si>
  <si>
    <t xml:space="preserve">Phase 7 — Leadership</t>
  </si>
  <si>
    <t xml:space="preserve">PERFORMANCE RATING SUMMARY</t>
  </si>
  <si>
    <t xml:space="preserve">KEY METRICS</t>
  </si>
  <si>
    <t xml:space="preserve">Excellent</t>
  </si>
  <si>
    <t xml:space="preserve">Certification Rate</t>
  </si>
  <si>
    <t xml:space="preserve">Remediation Rate</t>
  </si>
  <si>
    <t xml:space="preserve">Satisfactory</t>
  </si>
  <si>
    <t xml:space="preserve">Active Remediations</t>
  </si>
  <si>
    <t xml:space="preserve">Needs Improvement</t>
  </si>
  <si>
    <t xml:space="preserve">Unsatisfactory</t>
  </si>
  <si>
    <t xml:space="preserve">Note: All values auto-calculate from the Trainee Tracker and Remediation Log sheets. Do not edit this sheet directly.</t>
  </si>
  <si>
    <t xml:space="preserve">FacilityPro Academy — Training Phase Reference</t>
  </si>
  <si>
    <t xml:space="preserve">Title</t>
  </si>
  <si>
    <t xml:space="preserve">Key Content</t>
  </si>
  <si>
    <t xml:space="preserve">Phase 1</t>
  </si>
  <si>
    <t xml:space="preserve">Foundations &amp; Standardisation</t>
  </si>
  <si>
    <t xml:space="preserve">Excellence Standard, Dry/Wet workflows, colour coding, chemical usage, dwell times, Eagle IO reporting</t>
  </si>
  <si>
    <t xml:space="preserve">Phase 2</t>
  </si>
  <si>
    <t xml:space="preserve">Pilot-Style SOP Execution</t>
  </si>
  <si>
    <t xml:space="preserve">5-Stage Sequence, stage transition callouts, challenge-and-response checklists, variance decision tree, no-go criteria</t>
  </si>
  <si>
    <t xml:space="preserve">Phase 3</t>
  </si>
  <si>
    <t xml:space="preserve">Applied Crew Operations</t>
  </si>
  <si>
    <t xml:space="preserve">Dry/Wet split, solo vs team sequence, opposite-direction method, role rotation, 10-minute rule, cumulative simulation</t>
  </si>
  <si>
    <t xml:space="preserve">Phase 4</t>
  </si>
  <si>
    <t xml:space="preserve">Customer Experience Excellence</t>
  </si>
  <si>
    <t xml:space="preserve">Conduct standards, Invisible Crew principle, client scripts, escalation protocol, Wow Checklist, cumulative simulation</t>
  </si>
  <si>
    <t xml:space="preserve">Phase 5</t>
  </si>
  <si>
    <t xml:space="preserve">Quality Control &amp; Self-Inspection</t>
  </si>
  <si>
    <t xml:space="preserve">Zone Sign-Off protocol, common faults and corrections, benchmark tests, planted fault exercise, cumulative simulation</t>
  </si>
  <si>
    <t xml:space="preserve">Phase 6</t>
  </si>
  <si>
    <t xml:space="preserve">Health &amp; Safety</t>
  </si>
  <si>
    <t xml:space="preserve">Lone working, earphone policy, occupied sites, safe driving, zero tolerance policy, H&amp;S integration simulation</t>
  </si>
  <si>
    <t xml:space="preserve">Phase 7</t>
  </si>
  <si>
    <t xml:space="preserve">Leadership &amp; Replication</t>
  </si>
  <si>
    <t xml:space="preserve">Ownership mindset, Train-by-Show method, Supervisor Lens, escalation readiness, failure-mode scenarios, teach-back</t>
  </si>
  <si>
    <t xml:space="preserve">Written Check</t>
  </si>
  <si>
    <t xml:space="preserve">Final Knowledge Assessment</t>
  </si>
  <si>
    <t xml:space="preserve">60 marks across 7 sections. Pass mark: 48 (80%). Covers all phases. Re-test on failed sections within one week.</t>
  </si>
  <si>
    <t xml:space="preserve">STATUS DEFINITIONS</t>
  </si>
  <si>
    <t xml:space="preserve">Status</t>
  </si>
  <si>
    <t xml:space="preserve">Definition</t>
  </si>
  <si>
    <t xml:space="preserve">Completed all 7 phases and passed the written knowledge check at 80% or above</t>
  </si>
  <si>
    <t xml:space="preserve">IN TRAINING</t>
  </si>
  <si>
    <t xml:space="preserve">Currently progressing through the programme — check Current Phase column for position</t>
  </si>
  <si>
    <t xml:space="preserve">REMEDIATION</t>
  </si>
  <si>
    <t xml:space="preserve">Failed one or more assessment criteria — receiving targeted coaching before re-assessment</t>
  </si>
  <si>
    <t xml:space="preserve">ON HOLD</t>
  </si>
  <si>
    <t xml:space="preserve">Training paused due to absence, operational requirements, or pending investigation</t>
  </si>
  <si>
    <t xml:space="preserve">NOT STARTED</t>
  </si>
  <si>
    <t xml:space="preserve">Registered but has not yet commenced Phase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</si>
</sst>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8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2F2F2"/>
        <bgColor rgb="FFE8F1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1A5C2E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2E75B6"/>
        <sz val="9"/>
      </font>
      <fill>
        <patternFill>
          <bgColor rgb="FFE8F1FA"/>
        </patternFill>
      </fill>
    </dxf>
    <dxf>
      <font>
        <name val="Arial"/>
        <charset val="1"/>
        <family val="0"/>
        <b val="1"/>
        <color rgb="FF7A640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DE8E8"/>
        </patternFill>
      </fill>
    </dxf>
    <dxf>
      <font>
        <name val="Arial"/>
        <charset val="1"/>
        <family val="0"/>
        <color rgb="FF1A5C2E"/>
        <sz val="8"/>
      </font>
      <fill>
        <patternFill>
          <bgColor rgb="FFD4EDDA"/>
        </patternFill>
      </fill>
    </dxf>
    <dxf>
      <font>
        <name val="Arial"/>
        <charset val="1"/>
        <family val="0"/>
        <color rgb="FFC0392B"/>
        <sz val="8"/>
      </font>
      <fill>
        <patternFill>
          <bgColor rgb="FFFDE8E8"/>
        </patternFill>
      </fill>
    </dxf>
    <dxf>
      <font>
        <name val="Arial"/>
        <charset val="1"/>
        <family val="0"/>
        <color rgb="FF7A6400"/>
        <sz val="8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2E"/>
      <rgbColor rgb="FF000080"/>
      <rgbColor rgb="FF7A6400"/>
      <rgbColor rgb="FF800080"/>
      <rgbColor rgb="FF008080"/>
      <rgbColor rgb="FFC0C0C0"/>
      <rgbColor rgb="FF888888"/>
      <rgbColor rgb="FF9999FF"/>
      <rgbColor rgb="FF993366"/>
      <rgbColor rgb="FFFFF3CD"/>
      <rgbColor rgb="FFE8F1FA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DE8E8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4800A"/>
      <rgbColor rgb="FFFF6600"/>
      <rgbColor rgb="FF666699"/>
      <rgbColor rgb="FF999999"/>
      <rgbColor rgb="FF1B2A4A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12" min="6" style="0" width="9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8"/>
    <col collapsed="false" customWidth="true" hidden="false" outlineLevel="0" max="19" min="19" style="0" width="2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22.3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5" t="s">
        <v>32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7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7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7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</row>
  </sheetData>
  <mergeCells count="2">
    <mergeCell ref="A1:S1"/>
    <mergeCell ref="A2:S2"/>
  </mergeCells>
  <conditionalFormatting sqref="N4:N30">
    <cfRule type="cellIs" priority="2" operator="equal" aboveAverage="0" equalAverage="0" bottom="0" percent="0" rank="0" text="" dxfId="0">
      <formula>"CERTIFIED"</formula>
    </cfRule>
    <cfRule type="cellIs" priority="3" operator="equal" aboveAverage="0" equalAverage="0" bottom="0" percent="0" rank="0" text="" dxfId="1">
      <formula>"IN TRAINING"</formula>
    </cfRule>
    <cfRule type="cellIs" priority="4" operator="equal" aboveAverage="0" equalAverage="0" bottom="0" percent="0" rank="0" text="" dxfId="2">
      <formula>"REMEDIATION"</formula>
    </cfRule>
    <cfRule type="cellIs" priority="5" operator="equal" aboveAverage="0" equalAverage="0" bottom="0" percent="0" rank="0" text="" dxfId="3">
      <formula>"ON HOLD"</formula>
    </cfRule>
  </conditionalFormatting>
  <conditionalFormatting sqref="F4:F30">
    <cfRule type="cellIs" priority="6" operator="equal" aboveAverage="0" equalAverage="0" bottom="0" percent="0" rank="0" text="" dxfId="4">
      <formula>"Pass"</formula>
    </cfRule>
    <cfRule type="cellIs" priority="7" operator="equal" aboveAverage="0" equalAverage="0" bottom="0" percent="0" rank="0" text="" dxfId="5">
      <formula>"Fail"</formula>
    </cfRule>
    <cfRule type="cellIs" priority="8" operator="equal" aboveAverage="0" equalAverage="0" bottom="0" percent="0" rank="0" text="" dxfId="6">
      <formula>"In Progress"</formula>
    </cfRule>
  </conditionalFormatting>
  <conditionalFormatting sqref="G4:G30">
    <cfRule type="cellIs" priority="9" operator="equal" aboveAverage="0" equalAverage="0" bottom="0" percent="0" rank="0" text="" dxfId="4">
      <formula>"Pass"</formula>
    </cfRule>
    <cfRule type="cellIs" priority="10" operator="equal" aboveAverage="0" equalAverage="0" bottom="0" percent="0" rank="0" text="" dxfId="5">
      <formula>"Fail"</formula>
    </cfRule>
    <cfRule type="cellIs" priority="11" operator="equal" aboveAverage="0" equalAverage="0" bottom="0" percent="0" rank="0" text="" dxfId="6">
      <formula>"In Progress"</formula>
    </cfRule>
  </conditionalFormatting>
  <conditionalFormatting sqref="H4:H30">
    <cfRule type="cellIs" priority="12" operator="equal" aboveAverage="0" equalAverage="0" bottom="0" percent="0" rank="0" text="" dxfId="4">
      <formula>"Pass"</formula>
    </cfRule>
    <cfRule type="cellIs" priority="13" operator="equal" aboveAverage="0" equalAverage="0" bottom="0" percent="0" rank="0" text="" dxfId="5">
      <formula>"Fail"</formula>
    </cfRule>
    <cfRule type="cellIs" priority="14" operator="equal" aboveAverage="0" equalAverage="0" bottom="0" percent="0" rank="0" text="" dxfId="6">
      <formula>"In Progress"</formula>
    </cfRule>
  </conditionalFormatting>
  <conditionalFormatting sqref="I4:I30">
    <cfRule type="cellIs" priority="15" operator="equal" aboveAverage="0" equalAverage="0" bottom="0" percent="0" rank="0" text="" dxfId="4">
      <formula>"Pass"</formula>
    </cfRule>
    <cfRule type="cellIs" priority="16" operator="equal" aboveAverage="0" equalAverage="0" bottom="0" percent="0" rank="0" text="" dxfId="5">
      <formula>"Fail"</formula>
    </cfRule>
    <cfRule type="cellIs" priority="17" operator="equal" aboveAverage="0" equalAverage="0" bottom="0" percent="0" rank="0" text="" dxfId="6">
      <formula>"In Progress"</formula>
    </cfRule>
  </conditionalFormatting>
  <conditionalFormatting sqref="J4:J30">
    <cfRule type="cellIs" priority="18" operator="equal" aboveAverage="0" equalAverage="0" bottom="0" percent="0" rank="0" text="" dxfId="4">
      <formula>"Pass"</formula>
    </cfRule>
    <cfRule type="cellIs" priority="19" operator="equal" aboveAverage="0" equalAverage="0" bottom="0" percent="0" rank="0" text="" dxfId="5">
      <formula>"Fail"</formula>
    </cfRule>
    <cfRule type="cellIs" priority="20" operator="equal" aboveAverage="0" equalAverage="0" bottom="0" percent="0" rank="0" text="" dxfId="6">
      <formula>"In Progress"</formula>
    </cfRule>
  </conditionalFormatting>
  <conditionalFormatting sqref="K4:K30">
    <cfRule type="cellIs" priority="21" operator="equal" aboveAverage="0" equalAverage="0" bottom="0" percent="0" rank="0" text="" dxfId="4">
      <formula>"Pass"</formula>
    </cfRule>
    <cfRule type="cellIs" priority="22" operator="equal" aboveAverage="0" equalAverage="0" bottom="0" percent="0" rank="0" text="" dxfId="5">
      <formula>"Fail"</formula>
    </cfRule>
    <cfRule type="cellIs" priority="23" operator="equal" aboveAverage="0" equalAverage="0" bottom="0" percent="0" rank="0" text="" dxfId="6">
      <formula>"In Progress"</formula>
    </cfRule>
  </conditionalFormatting>
  <conditionalFormatting sqref="L4:L30">
    <cfRule type="cellIs" priority="24" operator="equal" aboveAverage="0" equalAverage="0" bottom="0" percent="0" rank="0" text="" dxfId="4">
      <formula>"Pass"</formula>
    </cfRule>
    <cfRule type="cellIs" priority="25" operator="equal" aboveAverage="0" equalAverage="0" bottom="0" percent="0" rank="0" text="" dxfId="5">
      <formula>"Fail"</formula>
    </cfRule>
    <cfRule type="cellIs" priority="26" operator="equal" aboveAverage="0" equalAverage="0" bottom="0" percent="0" rank="0" text="" dxfId="6">
      <formula>"In Progress"</formula>
    </cfRule>
  </conditionalFormatting>
  <dataValidations count="6">
    <dataValidation allowBlank="true" error="Select Yes, No, or Pending" errorStyle="stop" errorTitle="Invalid Entry" operator="between" showDropDown="false" showErrorMessage="false" showInputMessage="false" sqref="D4:E30" type="list">
      <formula1>"Yes,No,Pending"</formula1>
      <formula2>0</formula2>
    </dataValidation>
    <dataValidation allowBlank="true" error="Select Pass, Fail, In Progress, or Not Started" errorStyle="stop" operator="between" showDropDown="false" showErrorMessage="false" showInputMessage="false" sqref="F4:L30" type="list">
      <formula1>"Pass,Fail,In Progress,Not Started"</formula1>
      <formula2>0</formula2>
    </dataValidation>
    <dataValidation allowBlank="true" errorStyle="stop" operator="between" showDropDown="false" showErrorMessage="false" showInputMessage="false" sqref="N4:N30" type="list">
      <formula1>"CERTIFIED,IN TRAINING,ON HOLD,REMEDIATION,NOT STARTED"</formula1>
      <formula2>0</formula2>
    </dataValidation>
    <dataValidation allowBlank="true" errorStyle="stop" operator="between" showDropDown="false" showErrorMessage="false" showInputMessage="false" sqref="P4:P30" type="list">
      <formula1>"Phase 1,Phase 2,Phase 3,Phase 4,Phase 5,Phase 6,Phase 7,Written Check,Complete,Not Started"</formula1>
      <formula2>0</formula2>
    </dataValidation>
    <dataValidation allowBlank="true" errorStyle="stop" operator="between" showDropDown="false" showErrorMessage="false" showInputMessage="false" sqref="Q4:Q30" type="list">
      <formula1>"Excellent,Good,Satisfactory,Needs Improvement,Unsatisfactory"</formula1>
      <formula2>0</formula2>
    </dataValidation>
    <dataValidation allowBlank="true" errorStyle="stop" operator="between" showDropDown="false" showErrorMessage="false" showInputMessage="false" sqref="B4:B30" type="list">
      <formula1>"Operative,Crew Lead,Supervisor,Trainer,New Starter"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W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3" min="2" style="0" width="14"/>
  </cols>
  <sheetData>
    <row r="1" customFormat="false" ht="17.3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10" t="s">
        <v>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customFormat="false" ht="22.35" hidden="false" customHeight="false" outlineLevel="0" collapsed="false">
      <c r="A3" s="3" t="s">
        <v>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  <c r="S3" s="3" t="s">
        <v>16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</sheetData>
  <mergeCells count="2">
    <mergeCell ref="A1:W1"/>
    <mergeCell ref="A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00A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1" t="s">
        <v>52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2.8" hidden="false" customHeight="false" outlineLevel="0" collapsed="false">
      <c r="A2" s="3" t="s">
        <v>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</row>
    <row r="3" customFormat="false" ht="15" hidden="false" customHeight="false" outlineLevel="0" collapsed="false">
      <c r="A3" s="8"/>
      <c r="B3" s="8"/>
      <c r="C3" s="8"/>
      <c r="D3" s="12"/>
      <c r="E3" s="12"/>
      <c r="F3" s="8"/>
      <c r="G3" s="8"/>
      <c r="H3" s="8"/>
      <c r="I3" s="8"/>
      <c r="J3" s="12"/>
    </row>
    <row r="4" customFormat="false" ht="15" hidden="false" customHeight="false" outlineLevel="0" collapsed="false">
      <c r="A4" s="6"/>
      <c r="B4" s="6"/>
      <c r="C4" s="6"/>
      <c r="D4" s="13"/>
      <c r="E4" s="13"/>
      <c r="F4" s="6"/>
      <c r="G4" s="6"/>
      <c r="H4" s="6"/>
      <c r="I4" s="6"/>
      <c r="J4" s="13"/>
    </row>
    <row r="5" customFormat="false" ht="15" hidden="false" customHeight="false" outlineLevel="0" collapsed="false">
      <c r="A5" s="8"/>
      <c r="B5" s="8"/>
      <c r="C5" s="8"/>
      <c r="D5" s="12"/>
      <c r="E5" s="12"/>
      <c r="F5" s="8"/>
      <c r="G5" s="8"/>
      <c r="H5" s="8"/>
      <c r="I5" s="8"/>
      <c r="J5" s="12"/>
    </row>
    <row r="6" customFormat="false" ht="15" hidden="false" customHeight="false" outlineLevel="0" collapsed="false">
      <c r="A6" s="6"/>
      <c r="B6" s="6"/>
      <c r="C6" s="6"/>
      <c r="D6" s="13"/>
      <c r="E6" s="13"/>
      <c r="F6" s="6"/>
      <c r="G6" s="6"/>
      <c r="H6" s="6"/>
      <c r="I6" s="6"/>
      <c r="J6" s="13"/>
    </row>
    <row r="7" customFormat="false" ht="15" hidden="false" customHeight="false" outlineLevel="0" collapsed="false">
      <c r="A7" s="8"/>
      <c r="B7" s="8"/>
      <c r="C7" s="8"/>
      <c r="D7" s="12"/>
      <c r="E7" s="12"/>
      <c r="F7" s="8"/>
      <c r="G7" s="8"/>
      <c r="H7" s="8"/>
      <c r="I7" s="8"/>
      <c r="J7" s="12"/>
    </row>
    <row r="8" customFormat="false" ht="15" hidden="false" customHeight="false" outlineLevel="0" collapsed="false">
      <c r="A8" s="6"/>
      <c r="B8" s="6"/>
      <c r="C8" s="6"/>
      <c r="D8" s="13"/>
      <c r="E8" s="13"/>
      <c r="F8" s="6"/>
      <c r="G8" s="6"/>
      <c r="H8" s="6"/>
      <c r="I8" s="6"/>
      <c r="J8" s="13"/>
    </row>
    <row r="9" customFormat="false" ht="15" hidden="false" customHeight="false" outlineLevel="0" collapsed="false">
      <c r="A9" s="8"/>
      <c r="B9" s="8"/>
      <c r="C9" s="8"/>
      <c r="D9" s="12"/>
      <c r="E9" s="12"/>
      <c r="F9" s="8"/>
      <c r="G9" s="8"/>
      <c r="H9" s="8"/>
      <c r="I9" s="8"/>
      <c r="J9" s="12"/>
    </row>
    <row r="10" customFormat="false" ht="15" hidden="false" customHeight="false" outlineLevel="0" collapsed="false">
      <c r="A10" s="6"/>
      <c r="B10" s="6"/>
      <c r="C10" s="6"/>
      <c r="D10" s="13"/>
      <c r="E10" s="13"/>
      <c r="F10" s="6"/>
      <c r="G10" s="6"/>
      <c r="H10" s="6"/>
      <c r="I10" s="6"/>
      <c r="J10" s="13"/>
    </row>
    <row r="11" customFormat="false" ht="15" hidden="false" customHeight="false" outlineLevel="0" collapsed="false">
      <c r="A11" s="8"/>
      <c r="B11" s="8"/>
      <c r="C11" s="8"/>
      <c r="D11" s="12"/>
      <c r="E11" s="12"/>
      <c r="F11" s="8"/>
      <c r="G11" s="8"/>
      <c r="H11" s="8"/>
      <c r="I11" s="8"/>
      <c r="J11" s="12"/>
    </row>
    <row r="12" customFormat="false" ht="15" hidden="false" customHeight="false" outlineLevel="0" collapsed="false">
      <c r="A12" s="6"/>
      <c r="B12" s="6"/>
      <c r="C12" s="6"/>
      <c r="D12" s="13"/>
      <c r="E12" s="13"/>
      <c r="F12" s="6"/>
      <c r="G12" s="6"/>
      <c r="H12" s="6"/>
      <c r="I12" s="6"/>
      <c r="J12" s="13"/>
    </row>
    <row r="13" customFormat="false" ht="15" hidden="false" customHeight="false" outlineLevel="0" collapsed="false">
      <c r="A13" s="8"/>
      <c r="B13" s="8"/>
      <c r="C13" s="8"/>
      <c r="D13" s="12"/>
      <c r="E13" s="12"/>
      <c r="F13" s="8"/>
      <c r="G13" s="8"/>
      <c r="H13" s="8"/>
      <c r="I13" s="8"/>
      <c r="J13" s="12"/>
    </row>
    <row r="14" customFormat="false" ht="15" hidden="false" customHeight="false" outlineLevel="0" collapsed="false">
      <c r="A14" s="6"/>
      <c r="B14" s="6"/>
      <c r="C14" s="6"/>
      <c r="D14" s="13"/>
      <c r="E14" s="13"/>
      <c r="F14" s="6"/>
      <c r="G14" s="6"/>
      <c r="H14" s="6"/>
      <c r="I14" s="6"/>
      <c r="J14" s="13"/>
    </row>
    <row r="15" customFormat="false" ht="15" hidden="false" customHeight="false" outlineLevel="0" collapsed="false">
      <c r="A15" s="8"/>
      <c r="B15" s="8"/>
      <c r="C15" s="8"/>
      <c r="D15" s="12"/>
      <c r="E15" s="12"/>
      <c r="F15" s="8"/>
      <c r="G15" s="8"/>
      <c r="H15" s="8"/>
      <c r="I15" s="8"/>
      <c r="J15" s="12"/>
    </row>
    <row r="16" customFormat="false" ht="15" hidden="false" customHeight="false" outlineLevel="0" collapsed="false">
      <c r="A16" s="6"/>
      <c r="B16" s="6"/>
      <c r="C16" s="6"/>
      <c r="D16" s="13"/>
      <c r="E16" s="13"/>
      <c r="F16" s="6"/>
      <c r="G16" s="6"/>
      <c r="H16" s="6"/>
      <c r="I16" s="6"/>
      <c r="J16" s="13"/>
    </row>
    <row r="17" customFormat="false" ht="15" hidden="false" customHeight="false" outlineLevel="0" collapsed="false">
      <c r="A17" s="8"/>
      <c r="B17" s="8"/>
      <c r="C17" s="8"/>
      <c r="D17" s="12"/>
      <c r="E17" s="12"/>
      <c r="F17" s="8"/>
      <c r="G17" s="8"/>
      <c r="H17" s="8"/>
      <c r="I17" s="8"/>
      <c r="J17" s="12"/>
    </row>
    <row r="18" customFormat="false" ht="15" hidden="false" customHeight="false" outlineLevel="0" collapsed="false">
      <c r="A18" s="6"/>
      <c r="B18" s="6"/>
      <c r="C18" s="6"/>
      <c r="D18" s="13"/>
      <c r="E18" s="13"/>
      <c r="F18" s="6"/>
      <c r="G18" s="6"/>
      <c r="H18" s="6"/>
      <c r="I18" s="6"/>
      <c r="J18" s="13"/>
    </row>
    <row r="19" customFormat="false" ht="15" hidden="false" customHeight="false" outlineLevel="0" collapsed="false">
      <c r="A19" s="8"/>
      <c r="B19" s="8"/>
      <c r="C19" s="8"/>
      <c r="D19" s="12"/>
      <c r="E19" s="12"/>
      <c r="F19" s="8"/>
      <c r="G19" s="8"/>
      <c r="H19" s="8"/>
      <c r="I19" s="8"/>
      <c r="J19" s="12"/>
    </row>
    <row r="20" customFormat="false" ht="15" hidden="false" customHeight="false" outlineLevel="0" collapsed="false">
      <c r="A20" s="6"/>
      <c r="B20" s="6"/>
      <c r="C20" s="6"/>
      <c r="D20" s="13"/>
      <c r="E20" s="13"/>
      <c r="F20" s="6"/>
      <c r="G20" s="6"/>
      <c r="H20" s="6"/>
      <c r="I20" s="6"/>
      <c r="J20" s="13"/>
    </row>
    <row r="21" customFormat="false" ht="15" hidden="false" customHeight="false" outlineLevel="0" collapsed="false">
      <c r="A21" s="8"/>
      <c r="B21" s="8"/>
      <c r="C21" s="8"/>
      <c r="D21" s="12"/>
      <c r="E21" s="12"/>
      <c r="F21" s="8"/>
      <c r="G21" s="8"/>
      <c r="H21" s="8"/>
      <c r="I21" s="8"/>
      <c r="J21" s="12"/>
    </row>
    <row r="22" customFormat="false" ht="15" hidden="false" customHeight="false" outlineLevel="0" collapsed="false">
      <c r="A22" s="6"/>
      <c r="B22" s="6"/>
      <c r="C22" s="6"/>
      <c r="D22" s="13"/>
      <c r="E22" s="13"/>
      <c r="F22" s="6"/>
      <c r="G22" s="6"/>
      <c r="H22" s="6"/>
      <c r="I22" s="6"/>
      <c r="J22" s="13"/>
    </row>
    <row r="23" customFormat="false" ht="15" hidden="false" customHeight="false" outlineLevel="0" collapsed="false">
      <c r="A23" s="8"/>
      <c r="B23" s="8"/>
      <c r="C23" s="8"/>
      <c r="D23" s="12"/>
      <c r="E23" s="12"/>
      <c r="F23" s="8"/>
      <c r="G23" s="8"/>
      <c r="H23" s="8"/>
      <c r="I23" s="8"/>
      <c r="J23" s="12"/>
    </row>
    <row r="24" customFormat="false" ht="15" hidden="false" customHeight="false" outlineLevel="0" collapsed="false">
      <c r="A24" s="6"/>
      <c r="B24" s="6"/>
      <c r="C24" s="6"/>
      <c r="D24" s="13"/>
      <c r="E24" s="13"/>
      <c r="F24" s="6"/>
      <c r="G24" s="6"/>
      <c r="H24" s="6"/>
      <c r="I24" s="6"/>
      <c r="J24" s="13"/>
    </row>
    <row r="25" customFormat="false" ht="15" hidden="false" customHeight="false" outlineLevel="0" collapsed="false">
      <c r="A25" s="8"/>
      <c r="B25" s="8"/>
      <c r="C25" s="8"/>
      <c r="D25" s="12"/>
      <c r="E25" s="12"/>
      <c r="F25" s="8"/>
      <c r="G25" s="8"/>
      <c r="H25" s="8"/>
      <c r="I25" s="8"/>
      <c r="J25" s="12"/>
    </row>
    <row r="26" customFormat="false" ht="15" hidden="false" customHeight="false" outlineLevel="0" collapsed="false">
      <c r="A26" s="6"/>
      <c r="B26" s="6"/>
      <c r="C26" s="6"/>
      <c r="D26" s="13"/>
      <c r="E26" s="13"/>
      <c r="F26" s="6"/>
      <c r="G26" s="6"/>
      <c r="H26" s="6"/>
      <c r="I26" s="6"/>
      <c r="J26" s="13"/>
    </row>
    <row r="27" customFormat="false" ht="15" hidden="false" customHeight="false" outlineLevel="0" collapsed="false">
      <c r="A27" s="8"/>
      <c r="B27" s="8"/>
      <c r="C27" s="8"/>
      <c r="D27" s="12"/>
      <c r="E27" s="12"/>
      <c r="F27" s="8"/>
      <c r="G27" s="8"/>
      <c r="H27" s="8"/>
      <c r="I27" s="8"/>
      <c r="J27" s="12"/>
    </row>
    <row r="28" customFormat="false" ht="15" hidden="false" customHeight="false" outlineLevel="0" collapsed="false">
      <c r="A28" s="6"/>
      <c r="B28" s="6"/>
      <c r="C28" s="6"/>
      <c r="D28" s="13"/>
      <c r="E28" s="13"/>
      <c r="F28" s="6"/>
      <c r="G28" s="6"/>
      <c r="H28" s="6"/>
      <c r="I28" s="6"/>
      <c r="J28" s="13"/>
    </row>
    <row r="29" customFormat="false" ht="15" hidden="false" customHeight="false" outlineLevel="0" collapsed="false">
      <c r="A29" s="8"/>
      <c r="B29" s="8"/>
      <c r="C29" s="8"/>
      <c r="D29" s="12"/>
      <c r="E29" s="12"/>
      <c r="F29" s="8"/>
      <c r="G29" s="8"/>
      <c r="H29" s="8"/>
      <c r="I29" s="8"/>
      <c r="J29" s="12"/>
    </row>
    <row r="30" customFormat="false" ht="15" hidden="false" customHeight="false" outlineLevel="0" collapsed="false">
      <c r="A30" s="6"/>
      <c r="B30" s="6"/>
      <c r="C30" s="6"/>
      <c r="D30" s="13"/>
      <c r="E30" s="13"/>
      <c r="F30" s="6"/>
      <c r="G30" s="6"/>
      <c r="H30" s="6"/>
      <c r="I30" s="6"/>
      <c r="J30" s="13"/>
    </row>
  </sheetData>
  <mergeCells count="1">
    <mergeCell ref="A1:J1"/>
  </mergeCells>
  <dataValidations count="2">
    <dataValidation allowBlank="true" errorStyle="stop" operator="between" showDropDown="false" showErrorMessage="false" showInputMessage="false" sqref="G3:G30" type="list">
      <formula1>"Pass,Fail,Pending"</formula1>
      <formula2>0</formula2>
    </dataValidation>
    <dataValidation allowBlank="true" errorStyle="stop" operator="between" showDropDown="false" showErrorMessage="false" showInputMessage="false" sqref="H3:H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C2E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1" t="s">
        <v>62</v>
      </c>
      <c r="B1" s="11"/>
      <c r="C1" s="11"/>
      <c r="D1" s="11"/>
      <c r="E1" s="11"/>
    </row>
    <row r="2" customFormat="false" ht="15" hidden="false" customHeight="false" outlineLevel="0" collapsed="false">
      <c r="A2" s="10" t="s">
        <v>63</v>
      </c>
      <c r="B2" s="10"/>
      <c r="C2" s="10"/>
      <c r="D2" s="10"/>
      <c r="E2" s="10"/>
    </row>
    <row r="4" customFormat="false" ht="15" hidden="false" customHeight="false" outlineLevel="0" collapsed="false">
      <c r="A4" s="14" t="s">
        <v>64</v>
      </c>
      <c r="D4" s="14" t="s">
        <v>65</v>
      </c>
    </row>
    <row r="5" customFormat="false" ht="15" hidden="false" customHeight="false" outlineLevel="0" collapsed="false">
      <c r="A5" s="15" t="s">
        <v>66</v>
      </c>
      <c r="B5" s="16" t="n">
        <f aca="false">COUNTA('Trainee Tracker'!A5:A30)</f>
        <v>0</v>
      </c>
      <c r="D5" s="15" t="s">
        <v>67</v>
      </c>
      <c r="E5" s="17" t="n">
        <f aca="false">IFERROR(COUNTIF('Trainee Tracker'!F5:F30,"Pass")/COUNTA('Trainee Tracker'!F5:F30),0)</f>
        <v>0</v>
      </c>
    </row>
    <row r="6" customFormat="false" ht="15" hidden="false" customHeight="false" outlineLevel="0" collapsed="false">
      <c r="A6" s="15" t="s">
        <v>68</v>
      </c>
      <c r="B6" s="16" t="n">
        <f aca="false">COUNTIF('Trainee Tracker'!N5:N30,"CERTIFIED")</f>
        <v>0</v>
      </c>
      <c r="D6" s="15" t="s">
        <v>69</v>
      </c>
      <c r="E6" s="17" t="n">
        <f aca="false">IFERROR(COUNTIF('Trainee Tracker'!G5:G30,"Pass")/COUNTA('Trainee Tracker'!G5:G30),0)</f>
        <v>0</v>
      </c>
    </row>
    <row r="7" customFormat="false" ht="15" hidden="false" customHeight="false" outlineLevel="0" collapsed="false">
      <c r="A7" s="15" t="s">
        <v>70</v>
      </c>
      <c r="B7" s="16" t="n">
        <f aca="false">COUNTIF('Trainee Tracker'!N5:N30,"IN TRAINING")</f>
        <v>0</v>
      </c>
      <c r="D7" s="15" t="s">
        <v>71</v>
      </c>
      <c r="E7" s="17" t="n">
        <f aca="false">IFERROR(COUNTIF('Trainee Tracker'!H5:H30,"Pass")/COUNTA('Trainee Tracker'!H5:H30),0)</f>
        <v>0</v>
      </c>
    </row>
    <row r="8" customFormat="false" ht="15" hidden="false" customHeight="false" outlineLevel="0" collapsed="false">
      <c r="A8" s="15" t="s">
        <v>72</v>
      </c>
      <c r="B8" s="16" t="n">
        <f aca="false">COUNTIF('Trainee Tracker'!N5:N30,"REMEDIATION")</f>
        <v>0</v>
      </c>
      <c r="D8" s="15" t="s">
        <v>73</v>
      </c>
      <c r="E8" s="17" t="n">
        <f aca="false">IFERROR(COUNTIF('Trainee Tracker'!I5:I30,"Pass")/COUNTA('Trainee Tracker'!I5:I30),0)</f>
        <v>0</v>
      </c>
    </row>
    <row r="9" customFormat="false" ht="15" hidden="false" customHeight="false" outlineLevel="0" collapsed="false">
      <c r="A9" s="15" t="s">
        <v>74</v>
      </c>
      <c r="B9" s="16" t="n">
        <f aca="false">COUNTIF('Trainee Tracker'!N5:N30,"ON HOLD")</f>
        <v>0</v>
      </c>
      <c r="D9" s="15" t="s">
        <v>75</v>
      </c>
      <c r="E9" s="17" t="n">
        <f aca="false">IFERROR(COUNTIF('Trainee Tracker'!J5:J30,"Pass")/COUNTA('Trainee Tracker'!J5:J30),0)</f>
        <v>0</v>
      </c>
    </row>
    <row r="10" customFormat="false" ht="15" hidden="false" customHeight="false" outlineLevel="0" collapsed="false">
      <c r="A10" s="15" t="s">
        <v>76</v>
      </c>
      <c r="B10" s="16" t="n">
        <f aca="false">COUNTIF('Trainee Tracker'!N5:N30,"NOT STARTED")</f>
        <v>0</v>
      </c>
      <c r="D10" s="15" t="s">
        <v>77</v>
      </c>
      <c r="E10" s="17" t="n">
        <f aca="false">IFERROR(COUNTIF('Trainee Tracker'!K5:K30,"Pass")/COUNTA('Trainee Tracker'!K5:K30),0)</f>
        <v>0</v>
      </c>
    </row>
    <row r="11" customFormat="false" ht="15" hidden="false" customHeight="false" outlineLevel="0" collapsed="false">
      <c r="D11" s="15" t="s">
        <v>78</v>
      </c>
      <c r="E11" s="17" t="n">
        <f aca="false">IFERROR(COUNTIF('Trainee Tracker'!L5:L30,"Pass")/COUNTA('Trainee Tracker'!L5:L30),0)</f>
        <v>0</v>
      </c>
    </row>
    <row r="14" customFormat="false" ht="15" hidden="false" customHeight="false" outlineLevel="0" collapsed="false">
      <c r="A14" s="14" t="s">
        <v>79</v>
      </c>
      <c r="D14" s="14" t="s">
        <v>80</v>
      </c>
    </row>
    <row r="15" customFormat="false" ht="15" hidden="false" customHeight="false" outlineLevel="0" collapsed="false">
      <c r="A15" s="15" t="s">
        <v>81</v>
      </c>
      <c r="B15" s="16" t="n">
        <f aca="false">COUNTIF('Trainee Tracker'!Q5:Q30,"Excellent")</f>
        <v>0</v>
      </c>
      <c r="D15" s="15" t="s">
        <v>82</v>
      </c>
      <c r="E15" s="17" t="n">
        <f aca="false">IFERROR(COUNTIF('Trainee Tracker'!N5:N30,"CERTIFIED")/COUNTA('Trainee Tracker'!A5:A30),0)</f>
        <v>0</v>
      </c>
    </row>
    <row r="16" customFormat="false" ht="15" hidden="false" customHeight="false" outlineLevel="0" collapsed="false">
      <c r="A16" s="15" t="s">
        <v>30</v>
      </c>
      <c r="B16" s="16" t="n">
        <f aca="false">COUNTIF('Trainee Tracker'!Q5:Q30,"Good")</f>
        <v>0</v>
      </c>
      <c r="D16" s="15" t="s">
        <v>83</v>
      </c>
      <c r="E16" s="17" t="n">
        <f aca="false">IFERROR(COUNTIF('Trainee Tracker'!N5:N30,"REMEDIATION")/COUNTA('Trainee Tracker'!A5:A30),0)</f>
        <v>0</v>
      </c>
    </row>
    <row r="17" customFormat="false" ht="15" hidden="false" customHeight="false" outlineLevel="0" collapsed="false">
      <c r="A17" s="15" t="s">
        <v>84</v>
      </c>
      <c r="B17" s="16" t="n">
        <f aca="false">COUNTIF('Trainee Tracker'!Q5:Q30,"Satisfactory")</f>
        <v>0</v>
      </c>
      <c r="D17" s="15" t="s">
        <v>85</v>
      </c>
      <c r="E17" s="18" t="n">
        <f aca="false">COUNTIF('Remediation Log'!G3:G30,"Pending")</f>
        <v>0</v>
      </c>
    </row>
    <row r="18" customFormat="false" ht="15" hidden="false" customHeight="false" outlineLevel="0" collapsed="false">
      <c r="A18" s="15" t="s">
        <v>86</v>
      </c>
      <c r="B18" s="16" t="n">
        <f aca="false">COUNTIF('Trainee Tracker'!Q5:Q30,"Needs Improvement")</f>
        <v>0</v>
      </c>
    </row>
    <row r="19" customFormat="false" ht="15" hidden="false" customHeight="false" outlineLevel="0" collapsed="false">
      <c r="A19" s="15" t="s">
        <v>87</v>
      </c>
      <c r="B19" s="16" t="n">
        <f aca="false">COUNTIF('Trainee Tracker'!Q5:Q30,"Unsatisfactory")</f>
        <v>0</v>
      </c>
    </row>
    <row r="22" customFormat="false" ht="15" hidden="false" customHeight="false" outlineLevel="0" collapsed="false">
      <c r="A22" s="19" t="s">
        <v>88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1" t="s">
        <v>89</v>
      </c>
      <c r="B1" s="11"/>
      <c r="C1" s="11"/>
    </row>
    <row r="3" customFormat="false" ht="15" hidden="false" customHeight="false" outlineLevel="0" collapsed="false">
      <c r="A3" s="3" t="s">
        <v>53</v>
      </c>
      <c r="B3" s="3" t="s">
        <v>90</v>
      </c>
      <c r="C3" s="3" t="s">
        <v>91</v>
      </c>
    </row>
    <row r="4" customFormat="false" ht="22.35" hidden="false" customHeight="false" outlineLevel="0" collapsed="false">
      <c r="A4" s="20" t="s">
        <v>92</v>
      </c>
      <c r="B4" s="21" t="s">
        <v>93</v>
      </c>
      <c r="C4" s="13" t="s">
        <v>94</v>
      </c>
    </row>
    <row r="5" customFormat="false" ht="22.35" hidden="false" customHeight="false" outlineLevel="0" collapsed="false">
      <c r="A5" s="20" t="s">
        <v>95</v>
      </c>
      <c r="B5" s="21" t="s">
        <v>96</v>
      </c>
      <c r="C5" s="13" t="s">
        <v>97</v>
      </c>
    </row>
    <row r="6" customFormat="false" ht="22.35" hidden="false" customHeight="false" outlineLevel="0" collapsed="false">
      <c r="A6" s="20" t="s">
        <v>98</v>
      </c>
      <c r="B6" s="21" t="s">
        <v>99</v>
      </c>
      <c r="C6" s="13" t="s">
        <v>100</v>
      </c>
    </row>
    <row r="7" customFormat="false" ht="22.35" hidden="false" customHeight="false" outlineLevel="0" collapsed="false">
      <c r="A7" s="20" t="s">
        <v>101</v>
      </c>
      <c r="B7" s="21" t="s">
        <v>102</v>
      </c>
      <c r="C7" s="13" t="s">
        <v>103</v>
      </c>
    </row>
    <row r="8" customFormat="false" ht="22.35" hidden="false" customHeight="false" outlineLevel="0" collapsed="false">
      <c r="A8" s="20" t="s">
        <v>104</v>
      </c>
      <c r="B8" s="21" t="s">
        <v>105</v>
      </c>
      <c r="C8" s="13" t="s">
        <v>106</v>
      </c>
    </row>
    <row r="9" customFormat="false" ht="22.35" hidden="false" customHeight="false" outlineLevel="0" collapsed="false">
      <c r="A9" s="20" t="s">
        <v>107</v>
      </c>
      <c r="B9" s="21" t="s">
        <v>108</v>
      </c>
      <c r="C9" s="13" t="s">
        <v>109</v>
      </c>
    </row>
    <row r="10" customFormat="false" ht="22.35" hidden="false" customHeight="false" outlineLevel="0" collapsed="false">
      <c r="A10" s="20" t="s">
        <v>110</v>
      </c>
      <c r="B10" s="21" t="s">
        <v>111</v>
      </c>
      <c r="C10" s="13" t="s">
        <v>112</v>
      </c>
    </row>
    <row r="11" customFormat="false" ht="22.35" hidden="false" customHeight="false" outlineLevel="0" collapsed="false">
      <c r="A11" s="20" t="s">
        <v>113</v>
      </c>
      <c r="B11" s="21" t="s">
        <v>114</v>
      </c>
      <c r="C11" s="13" t="s">
        <v>115</v>
      </c>
    </row>
    <row r="14" customFormat="false" ht="15" hidden="false" customHeight="false" outlineLevel="0" collapsed="false">
      <c r="A14" s="14" t="s">
        <v>116</v>
      </c>
    </row>
    <row r="15" customFormat="false" ht="15" hidden="false" customHeight="false" outlineLevel="0" collapsed="false">
      <c r="A15" s="3" t="s">
        <v>117</v>
      </c>
      <c r="B15" s="3" t="s">
        <v>118</v>
      </c>
    </row>
    <row r="16" customFormat="false" ht="15" hidden="false" customHeight="true" outlineLevel="0" collapsed="false">
      <c r="A16" s="16" t="s">
        <v>27</v>
      </c>
      <c r="B16" s="13" t="s">
        <v>119</v>
      </c>
      <c r="C16" s="13"/>
    </row>
    <row r="17" customFormat="false" ht="15" hidden="false" customHeight="true" outlineLevel="0" collapsed="false">
      <c r="A17" s="16" t="s">
        <v>120</v>
      </c>
      <c r="B17" s="13" t="s">
        <v>121</v>
      </c>
      <c r="C17" s="13"/>
    </row>
    <row r="18" customFormat="false" ht="15" hidden="false" customHeight="true" outlineLevel="0" collapsed="false">
      <c r="A18" s="16" t="s">
        <v>122</v>
      </c>
      <c r="B18" s="13" t="s">
        <v>123</v>
      </c>
      <c r="C18" s="13"/>
    </row>
    <row r="19" customFormat="false" ht="15" hidden="false" customHeight="true" outlineLevel="0" collapsed="false">
      <c r="A19" s="16" t="s">
        <v>124</v>
      </c>
      <c r="B19" s="13" t="s">
        <v>125</v>
      </c>
      <c r="C19" s="13"/>
    </row>
    <row r="20" customFormat="false" ht="15" hidden="false" customHeight="true" outlineLevel="0" collapsed="false">
      <c r="A20" s="16" t="s">
        <v>126</v>
      </c>
      <c r="B20" s="13" t="s">
        <v>127</v>
      </c>
      <c r="C20" s="13"/>
    </row>
  </sheetData>
  <mergeCells count="6">
    <mergeCell ref="A1:C1"/>
    <mergeCell ref="B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2026-04-20T10:50:35Z</dcterms:created>
  <dc:creator>openpyxl</dc:creator>
  <dc:description/>
  <dc:language>en-US</dc:language>
  <cp:lastModifiedBy/>
  <dcterms:modified xsi:type="dcterms:W3CDTF">2026-04-20T10:50:35Z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